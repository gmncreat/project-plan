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견적내용" sheetId="1" state="visible" r:id="rId1"/>
    <sheet name="고려사항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<sst xmlns="http://schemas.openxmlformats.org/spreadsheetml/2006/main" count="74" uniqueCount="74">
  <si>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구분</t>
  </si>
  <si>
    <t>기능</t>
  </si>
  <si>
    <t>내용</t>
  </si>
  <si>
    <t xml:space="preserve">분석설계 M/D</t>
  </si>
  <si>
    <t xml:space="preserve">Backend M/D</t>
  </si>
  <si>
    <t xml:space="preserve">UI M/D</t>
  </si>
  <si>
    <t>일정</t>
  </si>
  <si>
    <t xml:space="preserve">총 M/D</t>
  </si>
  <si>
    <t>M</t>
  </si>
  <si>
    <t>M+1</t>
  </si>
  <si>
    <t>M+2</t>
  </si>
  <si>
    <t>M+3</t>
  </si>
  <si>
    <t>M+4</t>
  </si>
  <si>
    <t>M+5</t>
  </si>
  <si>
    <t>특급</t>
  </si>
  <si>
    <t>고급</t>
  </si>
  <si>
    <t>중급</t>
  </si>
  <si>
    <t>초급</t>
  </si>
  <si>
    <t xml:space="preserve">HUAWEI OTDR 연동 인터페이스 개발</t>
  </si>
  <si>
    <t xml:space="preserve">장비 인벤토리 정보 조회 기능</t>
  </si>
  <si>
    <t xml:space="preserve">장비 Ne/Node/Port 정보 수집/저장, OTDR Port 연관성 분석 로직</t>
  </si>
  <si>
    <t xml:space="preserve">OTDR 측정 Profile 관리 기능</t>
  </si>
  <si>
    <t xml:space="preserve">OTDR 측정 Profile 파라미터 관리 기능</t>
  </si>
  <si>
    <t xml:space="preserve">OTDR 측정 작업 실행 기능</t>
  </si>
  <si>
    <t xml:space="preserve">정기/장애/작업/BaseLine 작업 실행, 실행 화면 개선</t>
  </si>
  <si>
    <t xml:space="preserve">OTDR 측정 결과 조회 기능</t>
  </si>
  <si>
    <t xml:space="preserve">측정 결과 수집, SOR 파일 분석 로직, 결과 조회 화면 개선</t>
  </si>
  <si>
    <t xml:space="preserve">EMS 자동점검 조회 기능</t>
  </si>
  <si>
    <t xml:space="preserve">EMS 자동점검 판단 기능, 자동점검 측정 결과 수집</t>
  </si>
  <si>
    <t xml:space="preserve">TANGO 링정보, GIS 선번정보 연동 개발</t>
  </si>
  <si>
    <t xml:space="preserve">TANGO 링 정보 연동 기능</t>
  </si>
  <si>
    <t xml:space="preserve">연동 모듈 개발</t>
  </si>
  <si>
    <t xml:space="preserve">GIS 선번 정보 연동 기능</t>
  </si>
  <si>
    <t xml:space="preserve">연동 모듈 개발, 데이터 조회 화면 개발</t>
  </si>
  <si>
    <t xml:space="preserve">NOKIA EMS 자동점검 조회 기능 개발</t>
  </si>
  <si>
    <t xml:space="preserve">NOKIA OTDR Event 연동 기능</t>
  </si>
  <si>
    <t xml:space="preserve">연동 모듈 개발, 자동/수동 측정 판단 로직 개발</t>
  </si>
  <si>
    <t xml:space="preserve">NOKIA EMS 자동 점검 조회 기능</t>
  </si>
  <si>
    <t xml:space="preserve">자동 점검 결과 수집, 자동점검 화면 개선</t>
  </si>
  <si>
    <t xml:space="preserve">OTDR 선로 길이 보정 기능 개발</t>
  </si>
  <si>
    <t xml:space="preserve">OTDR 선로 길이 보정 기능</t>
  </si>
  <si>
    <t xml:space="preserve">OTDR  장비와 FDF간 거리 보정</t>
  </si>
  <si>
    <t xml:space="preserve">OTDR 측정 결과 보고서 기능 개발</t>
  </si>
  <si>
    <t xml:space="preserve">링단위 측정 결과 보고서 생성 기능</t>
  </si>
  <si>
    <t xml:space="preserve">링단위 보고서 주기별 자동 생성, 수동 보고서 생성</t>
  </si>
  <si>
    <t>총합</t>
  </si>
  <si>
    <t>M/M</t>
  </si>
  <si>
    <t>월20.8M/D</t>
  </si>
  <si>
    <t>고려사항</t>
  </si>
  <si>
    <t>비고</t>
  </si>
  <si>
    <t xml:space="preserve">견적 포함 여부</t>
  </si>
  <si>
    <t xml:space="preserve">Otdr Backend API 개발 언어 포팅 여부</t>
  </si>
  <si>
    <t xml:space="preserve">현재 go로 개발됨, python worker형태로 구조 개선 필요</t>
  </si>
  <si>
    <t>제외</t>
  </si>
  <si>
    <t xml:space="preserve">HUAWEI OTDR 표준 SOR 파일 포맷 사용 여부</t>
  </si>
  <si>
    <t xml:space="preserve">sor 파일은 ftp로 수집해야함</t>
  </si>
  <si>
    <t xml:space="preserve">표준 포맷 분석으로 포함</t>
  </si>
  <si>
    <t xml:space="preserve">EMS API 호출기록 메뉴에 제조사 구분 없음</t>
  </si>
  <si>
    <t xml:space="preserve">제조사 구분 필요</t>
  </si>
  <si>
    <t xml:space="preserve">화면 개선에 포함</t>
  </si>
  <si>
    <t xml:space="preserve">HUAWEI EMS API 호출 내역 Audit 기능 필요</t>
  </si>
  <si>
    <t xml:space="preserve">연동 인터페이스 Backend 견적에 포함</t>
  </si>
  <si>
    <t xml:space="preserve">현재 TANGO 링, GIS 선번 정보는 API 가 제공되지 않아 연동 협의가 필요한 상황임</t>
  </si>
  <si>
    <t xml:space="preserve">연동 일정 불확실함</t>
  </si>
  <si>
    <t xml:space="preserve">IPOps 개발 비용만 포함, Tango는 따로</t>
  </si>
  <si>
    <t xml:space="preserve">GIS 선번 정보 Master 테이블 데이터 조회 화면 표시 필요 여부</t>
  </si>
  <si>
    <t>포함</t>
  </si>
  <si>
    <t xml:space="preserve">HUAWEI 장비 인벤토리 수집 데이터에 대해 별도의 Master 테이블 데이터 조회 화면 필요 여부</t>
  </si>
  <si>
    <t xml:space="preserve">Nokia와  같은 인벤토리 테이블을 사용한다면 필요 없음</t>
  </si>
  <si>
    <t>제외함</t>
  </si>
  <si>
    <t xml:space="preserve">huawei profile 테이블 관리</t>
  </si>
  <si>
    <t xml:space="preserve">화웨이는 nokia처럼 profile 설정기능을 제공하지 않아 프로필 관리 테이블 필요</t>
  </si>
  <si>
    <t xml:space="preserve">huawei port 정보 관리</t>
  </si>
  <si>
    <t xml:space="preserve">huawei EMS 조회해서 port 정보 연관성 파악해야 함.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</si>
</sst>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0"/>
        <bgColor theme="0" tint="0"/>
      </patternFill>
    </fill>
    <fill>
      <patternFill patternType="solid">
        <fgColor rgb="FFFFC000"/>
        <bgColor rgb="FFFFC000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/>
    <xf fontId="1" fillId="0" borderId="0" numFmtId="0" xfId="0" applyFont="1"/>
    <xf fontId="0" fillId="2" borderId="1" numFmtId="0" xfId="0" applyFill="1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2" borderId="3" numFmtId="0" xfId="0" applyFill="1" applyBorder="1" applyAlignment="1">
      <alignment horizontal="center"/>
    </xf>
    <xf fontId="0" fillId="2" borderId="3" numFmtId="0" xfId="0" applyFill="1" applyBorder="1"/>
    <xf fontId="0" fillId="2" borderId="4" numFmtId="0" xfId="0" applyFill="1" applyBorder="1" applyAlignment="1">
      <alignment horizontal="center" vertical="center"/>
    </xf>
    <xf fontId="0" fillId="2" borderId="0" numFmtId="0" xfId="0" applyFill="1" applyAlignment="1">
      <alignment horizontal="center" vertic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0" fillId="2" borderId="8" numFmtId="0" xfId="0" applyFill="1" applyBorder="1" applyAlignment="1">
      <alignment horizontal="center"/>
    </xf>
    <xf fontId="0" fillId="2" borderId="9" numFmtId="0" xfId="0" applyFill="1" applyBorder="1" applyAlignment="1">
      <alignment horizontal="center"/>
    </xf>
    <xf fontId="0" fillId="2" borderId="10" numFmtId="0" xfId="0" applyFill="1" applyBorder="1" applyAlignment="1">
      <alignment horizontal="center"/>
    </xf>
    <xf fontId="0" fillId="2" borderId="11" numFmtId="0" xfId="0" applyFill="1" applyBorder="1" applyAlignment="1">
      <alignment horizontal="center"/>
    </xf>
    <xf fontId="0" fillId="0" borderId="3" numFmtId="0" xfId="0" applyBorder="1" applyAlignment="1">
      <alignment horizontal="center" vertical="center"/>
    </xf>
    <xf fontId="0" fillId="0" borderId="3" numFmtId="0" xfId="0" applyBorder="1"/>
    <xf fontId="0" fillId="0" borderId="3" numFmtId="0" xfId="0" applyBorder="1"/>
    <xf fontId="0" fillId="0" borderId="5" numFmtId="0" xfId="0" applyBorder="1"/>
    <xf fontId="0" fillId="3" borderId="6" numFmtId="0" xfId="0" applyFill="1" applyBorder="1"/>
    <xf fontId="0" fillId="3" borderId="3" numFmtId="0" xfId="0" applyFill="1" applyBorder="1"/>
    <xf fontId="0" fillId="3" borderId="5" numFmtId="0" xfId="0" applyFill="1" applyBorder="1"/>
    <xf fontId="0" fillId="3" borderId="7" numFmtId="0" xfId="0" applyFill="1" applyBorder="1"/>
    <xf fontId="0" fillId="4" borderId="6" numFmtId="0" xfId="0" applyFill="1" applyBorder="1"/>
    <xf fontId="0" fillId="4" borderId="3" numFmtId="0" xfId="0" applyFill="1" applyBorder="1"/>
    <xf fontId="0" fillId="4" borderId="5" numFmtId="0" xfId="0" applyFill="1" applyBorder="1"/>
    <xf fontId="0" fillId="4" borderId="7" numFmtId="0" xfId="0" applyFill="1" applyBorder="1"/>
    <xf fontId="0" fillId="4" borderId="8" numFmtId="0" xfId="0" applyFill="1" applyBorder="1"/>
    <xf fontId="0" fillId="3" borderId="8" numFmtId="0" xfId="0" applyFill="1" applyBorder="1"/>
    <xf fontId="0" fillId="0" borderId="0" numFmtId="0" xfId="0" applyAlignment="1">
      <alignment horizontal="center" vertical="center" wrapText="1"/>
    </xf>
    <xf fontId="0" fillId="0" borderId="3" numFmtId="0" xfId="0" applyBorder="1" applyAlignment="1">
      <alignment horizontal="center" vertical="center" wrapText="1"/>
    </xf>
    <xf fontId="0" fillId="4" borderId="0" numFmtId="0" xfId="0" applyFill="1"/>
    <xf fontId="0" fillId="4" borderId="3" numFmtId="0" xfId="0" applyFill="1" applyBorder="1"/>
    <xf fontId="0" fillId="4" borderId="12" numFmtId="0" xfId="0" applyFill="1" applyBorder="1"/>
    <xf fontId="0" fillId="4" borderId="4" numFmtId="0" xfId="0" applyFill="1" applyBorder="1"/>
    <xf fontId="0" fillId="4" borderId="13" numFmtId="0" xfId="0" applyFill="1" applyBorder="1"/>
    <xf fontId="0" fillId="4" borderId="14" numFmtId="0" xfId="0" applyFill="1" applyBorder="1"/>
    <xf fontId="0" fillId="4" borderId="15" numFmtId="0" xfId="0" applyFill="1" applyBorder="1"/>
    <xf fontId="0" fillId="4" borderId="16" numFmtId="0" xfId="0" applyFill="1" applyBorder="1"/>
    <xf fontId="0" fillId="0" borderId="3" numFmtId="0" xfId="0" applyBorder="1" applyAlignment="1">
      <alignment horizontal="center" vertical="center"/>
    </xf>
    <xf fontId="1" fillId="4" borderId="6" numFmtId="0" xfId="0" applyFont="1" applyFill="1" applyBorder="1"/>
    <xf fontId="0" fillId="0" borderId="17" numFmtId="0" xfId="0" applyBorder="1" applyAlignment="1">
      <alignment horizontal="center" vertical="center"/>
    </xf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3" numFmtId="0" xfId="0" applyBorder="1" applyAlignment="1">
      <alignment vertical="center"/>
    </xf>
    <xf fontId="0" fillId="0" borderId="3" numFmtId="0" xfId="0" applyBorder="1" applyAlignment="1">
      <alignment horizontal="center"/>
    </xf>
    <xf fontId="0" fillId="5" borderId="0" numFmtId="0" xfId="0" applyFill="1"/>
    <xf fontId="0" fillId="0" borderId="0" numFmtId="0" xfId="0" applyAlignment="1">
      <alignment vertic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.8515625"/>
    <col customWidth="1" min="2" max="2" width="43.140625"/>
    <col customWidth="1" min="3" max="3" width="36.57421875"/>
    <col customWidth="1" hidden="1" min="4" max="4" width="59.00390625"/>
    <col customWidth="1" min="5" max="5" width="14.57421875"/>
    <col customWidth="1" min="6" max="6" width="19.140625"/>
    <col customWidth="1" min="7" max="7" width="17.140625"/>
    <col customWidth="1" min="10" max="29" width="2.140625"/>
    <col customWidth="1" min="30" max="30" style="1" width="2.140625"/>
    <col customWidth="1" min="31" max="33" width="2.140625"/>
  </cols>
  <sheetData>
    <row r="1" ht="14.25">
      <c r="AD1" s="1"/>
    </row>
    <row r="2" ht="14.25">
      <c r="AD2" s="1"/>
    </row>
    <row r="3" ht="14.25">
      <c r="B3" s="2" t="s">
        <v>0</v>
      </c>
      <c r="C3" s="2" t="s">
        <v>1</v>
      </c>
      <c r="D3" s="3" t="s">
        <v>2</v>
      </c>
      <c r="E3" s="2" t="s">
        <v>3</v>
      </c>
      <c r="F3" s="2" t="s">
        <v>4</v>
      </c>
      <c r="G3" s="2" t="s">
        <v>5</v>
      </c>
      <c r="H3" s="4"/>
      <c r="I3" s="4"/>
      <c r="J3" s="4" t="s">
        <v>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I3" s="5"/>
      <c r="AJ3" s="5"/>
      <c r="AK3" s="5"/>
      <c r="AL3" s="5"/>
    </row>
    <row r="4" ht="14.25">
      <c r="B4" s="6"/>
      <c r="C4" s="6"/>
      <c r="D4" s="7"/>
      <c r="E4" s="6"/>
      <c r="F4" s="6"/>
      <c r="G4" s="6"/>
      <c r="H4" s="4" t="s">
        <v>7</v>
      </c>
      <c r="I4" s="8"/>
      <c r="J4" s="9" t="s">
        <v>8</v>
      </c>
      <c r="K4" s="4"/>
      <c r="L4" s="4"/>
      <c r="M4" s="8"/>
      <c r="N4" s="9" t="s">
        <v>9</v>
      </c>
      <c r="O4" s="4"/>
      <c r="P4" s="4"/>
      <c r="Q4" s="10"/>
      <c r="R4" s="9" t="s">
        <v>10</v>
      </c>
      <c r="S4" s="4"/>
      <c r="T4" s="4"/>
      <c r="U4" s="8"/>
      <c r="V4" s="9" t="s">
        <v>11</v>
      </c>
      <c r="W4" s="4"/>
      <c r="X4" s="4"/>
      <c r="Y4" s="10"/>
      <c r="Z4" s="11" t="s">
        <v>12</v>
      </c>
      <c r="AA4" s="4"/>
      <c r="AB4" s="4"/>
      <c r="AC4" s="8"/>
      <c r="AD4" s="12" t="s">
        <v>13</v>
      </c>
      <c r="AE4" s="13"/>
      <c r="AF4" s="13"/>
      <c r="AG4" s="14"/>
      <c r="AI4" s="4" t="s">
        <v>14</v>
      </c>
      <c r="AJ4" s="4" t="s">
        <v>15</v>
      </c>
      <c r="AK4" s="4" t="s">
        <v>16</v>
      </c>
      <c r="AL4" s="4" t="s">
        <v>17</v>
      </c>
    </row>
    <row r="5" ht="14.25">
      <c r="B5" s="15" t="s">
        <v>18</v>
      </c>
      <c r="C5" s="16" t="s">
        <v>19</v>
      </c>
      <c r="D5" s="17" t="s">
        <v>20</v>
      </c>
      <c r="E5" s="16">
        <v>10</v>
      </c>
      <c r="F5" s="16">
        <v>20</v>
      </c>
      <c r="G5" s="16"/>
      <c r="H5" s="16">
        <f t="shared" ref="H5:H9" si="0">SUM(E5:G5)</f>
        <v>30</v>
      </c>
      <c r="I5" s="18"/>
      <c r="J5" s="19"/>
      <c r="K5" s="20"/>
      <c r="L5" s="20"/>
      <c r="M5" s="21"/>
      <c r="N5" s="19"/>
      <c r="O5" s="20"/>
      <c r="P5" s="20"/>
      <c r="Q5" s="22"/>
      <c r="R5" s="23"/>
      <c r="S5" s="24"/>
      <c r="T5" s="24"/>
      <c r="U5" s="25"/>
      <c r="V5" s="23"/>
      <c r="W5" s="24"/>
      <c r="X5" s="24"/>
      <c r="Y5" s="26"/>
      <c r="Z5" s="27"/>
      <c r="AA5" s="24"/>
      <c r="AB5" s="24"/>
      <c r="AC5" s="25"/>
      <c r="AD5" s="23"/>
      <c r="AE5" s="24"/>
      <c r="AF5" s="24"/>
      <c r="AG5" s="26"/>
      <c r="AI5" s="16">
        <v>10</v>
      </c>
      <c r="AJ5" s="16">
        <v>20</v>
      </c>
      <c r="AK5" s="16"/>
      <c r="AL5" s="16"/>
    </row>
    <row r="6" ht="14.25">
      <c r="B6" s="15"/>
      <c r="C6" s="17" t="s">
        <v>21</v>
      </c>
      <c r="D6" s="17" t="s">
        <v>22</v>
      </c>
      <c r="E6" s="16">
        <v>5</v>
      </c>
      <c r="F6" s="16">
        <v>5</v>
      </c>
      <c r="G6" s="16">
        <v>10</v>
      </c>
      <c r="H6" s="16">
        <f>SUM(E6:G6)</f>
        <v>20</v>
      </c>
      <c r="I6" s="18"/>
      <c r="J6" s="23"/>
      <c r="K6" s="24"/>
      <c r="L6" s="24"/>
      <c r="M6" s="25"/>
      <c r="N6" s="23"/>
      <c r="O6" s="24"/>
      <c r="P6" s="24"/>
      <c r="Q6" s="26"/>
      <c r="R6" s="19"/>
      <c r="S6" s="20"/>
      <c r="T6" s="20"/>
      <c r="U6" s="21"/>
      <c r="V6" s="19"/>
      <c r="W6" s="20"/>
      <c r="X6" s="20"/>
      <c r="Y6" s="22"/>
      <c r="Z6" s="27"/>
      <c r="AA6" s="24"/>
      <c r="AB6" s="24"/>
      <c r="AC6" s="25"/>
      <c r="AD6" s="23"/>
      <c r="AE6" s="24"/>
      <c r="AF6" s="24"/>
      <c r="AG6" s="26"/>
      <c r="AI6" s="16"/>
      <c r="AJ6" s="16"/>
      <c r="AK6" s="16">
        <v>10</v>
      </c>
      <c r="AL6" s="16">
        <v>10</v>
      </c>
    </row>
    <row r="7" ht="14.25">
      <c r="B7" s="15"/>
      <c r="C7" s="17" t="s">
        <v>23</v>
      </c>
      <c r="D7" s="17" t="s">
        <v>24</v>
      </c>
      <c r="E7" s="16">
        <v>5</v>
      </c>
      <c r="F7" s="16">
        <v>20</v>
      </c>
      <c r="G7" s="16">
        <v>5</v>
      </c>
      <c r="H7" s="16">
        <f t="shared" si="0"/>
        <v>30</v>
      </c>
      <c r="I7" s="18"/>
      <c r="J7" s="23"/>
      <c r="K7" s="24"/>
      <c r="L7" s="24"/>
      <c r="M7" s="25"/>
      <c r="N7" s="23"/>
      <c r="O7" s="24"/>
      <c r="P7" s="24"/>
      <c r="Q7" s="26"/>
      <c r="R7" s="19"/>
      <c r="S7" s="20"/>
      <c r="T7" s="20"/>
      <c r="U7" s="21"/>
      <c r="V7" s="19"/>
      <c r="W7" s="20"/>
      <c r="X7" s="20"/>
      <c r="Y7" s="22"/>
      <c r="Z7" s="27"/>
      <c r="AA7" s="24"/>
      <c r="AB7" s="24"/>
      <c r="AC7" s="25"/>
      <c r="AD7" s="23"/>
      <c r="AE7" s="24"/>
      <c r="AF7" s="24"/>
      <c r="AG7" s="26"/>
      <c r="AI7" s="16">
        <v>10</v>
      </c>
      <c r="AJ7" s="16">
        <v>15</v>
      </c>
      <c r="AK7" s="16"/>
      <c r="AL7" s="16">
        <v>5</v>
      </c>
    </row>
    <row r="8" ht="14.25">
      <c r="B8" s="15"/>
      <c r="C8" s="17" t="s">
        <v>25</v>
      </c>
      <c r="D8" s="17" t="s">
        <v>26</v>
      </c>
      <c r="E8" s="16">
        <v>10</v>
      </c>
      <c r="F8" s="16">
        <v>20</v>
      </c>
      <c r="G8" s="16">
        <v>5</v>
      </c>
      <c r="H8" s="16">
        <f t="shared" si="0"/>
        <v>35</v>
      </c>
      <c r="I8" s="18"/>
      <c r="J8" s="23"/>
      <c r="K8" s="24"/>
      <c r="L8" s="24"/>
      <c r="M8" s="25"/>
      <c r="N8" s="23"/>
      <c r="O8" s="24"/>
      <c r="P8" s="24"/>
      <c r="Q8" s="26"/>
      <c r="R8" s="19"/>
      <c r="S8" s="20"/>
      <c r="T8" s="20"/>
      <c r="U8" s="21"/>
      <c r="V8" s="19"/>
      <c r="W8" s="20"/>
      <c r="X8" s="20"/>
      <c r="Y8" s="22"/>
      <c r="Z8" s="28"/>
      <c r="AA8" s="20"/>
      <c r="AB8" s="20"/>
      <c r="AC8" s="21"/>
      <c r="AD8" s="23"/>
      <c r="AE8" s="24"/>
      <c r="AF8" s="24"/>
      <c r="AG8" s="26"/>
      <c r="AI8" s="16">
        <v>10</v>
      </c>
      <c r="AJ8" s="16">
        <v>20</v>
      </c>
      <c r="AK8" s="16"/>
      <c r="AL8" s="16">
        <v>5</v>
      </c>
    </row>
    <row r="9" ht="14.25">
      <c r="B9" s="15"/>
      <c r="C9" s="17" t="s">
        <v>27</v>
      </c>
      <c r="D9" s="17" t="s">
        <v>28</v>
      </c>
      <c r="E9" s="16">
        <v>5</v>
      </c>
      <c r="F9" s="16">
        <v>15</v>
      </c>
      <c r="G9" s="16"/>
      <c r="H9" s="16">
        <f t="shared" si="0"/>
        <v>20</v>
      </c>
      <c r="I9" s="18"/>
      <c r="J9" s="23"/>
      <c r="K9" s="24"/>
      <c r="L9" s="24"/>
      <c r="M9" s="25"/>
      <c r="N9" s="23"/>
      <c r="O9" s="24"/>
      <c r="P9" s="24"/>
      <c r="Q9" s="26"/>
      <c r="R9" s="23"/>
      <c r="S9" s="24"/>
      <c r="T9" s="24"/>
      <c r="U9" s="25"/>
      <c r="V9" s="19"/>
      <c r="W9" s="20"/>
      <c r="X9" s="20"/>
      <c r="Y9" s="22"/>
      <c r="Z9" s="28"/>
      <c r="AA9" s="20"/>
      <c r="AB9" s="20"/>
      <c r="AC9" s="21"/>
      <c r="AD9" s="23"/>
      <c r="AE9" s="24"/>
      <c r="AF9" s="24"/>
      <c r="AG9" s="26"/>
      <c r="AI9" s="16">
        <v>10</v>
      </c>
      <c r="AJ9" s="16">
        <v>10</v>
      </c>
      <c r="AK9" s="16"/>
      <c r="AL9" s="16"/>
    </row>
    <row r="10" ht="14.25">
      <c r="B10" s="15"/>
      <c r="C10" s="16"/>
      <c r="D10" s="16"/>
      <c r="E10" s="16"/>
      <c r="F10" s="16"/>
      <c r="G10" s="16"/>
      <c r="H10" s="16"/>
      <c r="I10" s="18"/>
      <c r="J10" s="23"/>
      <c r="K10" s="24"/>
      <c r="L10" s="24"/>
      <c r="M10" s="25"/>
      <c r="N10" s="23"/>
      <c r="O10" s="24"/>
      <c r="P10" s="24"/>
      <c r="Q10" s="26"/>
      <c r="R10" s="23"/>
      <c r="S10" s="24"/>
      <c r="T10" s="24"/>
      <c r="U10" s="25"/>
      <c r="V10" s="23"/>
      <c r="W10" s="24"/>
      <c r="X10" s="24"/>
      <c r="Y10" s="26"/>
      <c r="Z10" s="27"/>
      <c r="AA10" s="24"/>
      <c r="AB10" s="24"/>
      <c r="AC10" s="25"/>
      <c r="AD10" s="23"/>
      <c r="AE10" s="24"/>
      <c r="AF10" s="24"/>
      <c r="AG10" s="26"/>
      <c r="AI10" s="16"/>
      <c r="AJ10" s="16"/>
      <c r="AK10" s="16"/>
      <c r="AL10" s="16"/>
    </row>
    <row r="11" ht="14.25">
      <c r="A11" s="29"/>
      <c r="B11" s="30" t="s">
        <v>29</v>
      </c>
      <c r="C11" s="16" t="s">
        <v>30</v>
      </c>
      <c r="D11" s="17" t="s">
        <v>31</v>
      </c>
      <c r="E11" s="16">
        <v>5</v>
      </c>
      <c r="F11" s="16">
        <v>10</v>
      </c>
      <c r="G11" s="16"/>
      <c r="H11" s="16">
        <f t="shared" ref="H11:H17" si="1">SUM(E11:G11)</f>
        <v>15</v>
      </c>
      <c r="I11" s="18"/>
      <c r="J11" s="23"/>
      <c r="K11" s="24"/>
      <c r="L11" s="24"/>
      <c r="M11" s="25"/>
      <c r="N11" s="23"/>
      <c r="O11" s="24"/>
      <c r="P11" s="24"/>
      <c r="Q11" s="26"/>
      <c r="R11" s="23"/>
      <c r="S11" s="24"/>
      <c r="T11" s="31"/>
      <c r="U11" s="25"/>
      <c r="V11" s="23"/>
      <c r="W11" s="24"/>
      <c r="X11" s="24"/>
      <c r="Y11" s="26"/>
      <c r="Z11" s="28"/>
      <c r="AA11" s="20"/>
      <c r="AB11" s="20"/>
      <c r="AC11" s="21"/>
      <c r="AD11" s="19"/>
      <c r="AE11" s="20"/>
      <c r="AF11" s="20"/>
      <c r="AG11" s="22"/>
      <c r="AI11" s="16"/>
      <c r="AJ11" s="16"/>
      <c r="AK11" s="16">
        <v>10</v>
      </c>
      <c r="AL11" s="16">
        <v>5</v>
      </c>
    </row>
    <row r="12" ht="14.25">
      <c r="A12" s="29"/>
      <c r="B12" s="15"/>
      <c r="C12" s="16" t="s">
        <v>32</v>
      </c>
      <c r="D12" s="32" t="s">
        <v>33</v>
      </c>
      <c r="E12" s="16">
        <v>5</v>
      </c>
      <c r="F12" s="16">
        <v>12</v>
      </c>
      <c r="G12" s="16">
        <v>3</v>
      </c>
      <c r="H12" s="16">
        <f t="shared" si="1"/>
        <v>20</v>
      </c>
      <c r="I12" s="18"/>
      <c r="J12" s="23"/>
      <c r="K12" s="24"/>
      <c r="L12" s="24"/>
      <c r="M12" s="25"/>
      <c r="N12" s="23"/>
      <c r="O12" s="24"/>
      <c r="P12" s="24"/>
      <c r="Q12" s="26"/>
      <c r="R12" s="33"/>
      <c r="S12" s="24"/>
      <c r="T12" s="24"/>
      <c r="U12" s="25"/>
      <c r="V12" s="23"/>
      <c r="W12" s="24"/>
      <c r="X12" s="24"/>
      <c r="Y12" s="26"/>
      <c r="Z12" s="28"/>
      <c r="AA12" s="20"/>
      <c r="AB12" s="20"/>
      <c r="AC12" s="21"/>
      <c r="AD12" s="19"/>
      <c r="AE12" s="20"/>
      <c r="AF12" s="20"/>
      <c r="AG12" s="22"/>
      <c r="AI12" s="16"/>
      <c r="AJ12" s="16"/>
      <c r="AK12" s="16">
        <v>10</v>
      </c>
      <c r="AL12" s="16">
        <v>10</v>
      </c>
    </row>
    <row r="13" ht="14.25">
      <c r="A13" s="29"/>
      <c r="B13" s="15"/>
      <c r="C13" s="16"/>
      <c r="D13" s="16"/>
      <c r="E13" s="16"/>
      <c r="F13" s="16"/>
      <c r="G13" s="16"/>
      <c r="H13" s="16"/>
      <c r="I13" s="18"/>
      <c r="J13" s="23"/>
      <c r="K13" s="24"/>
      <c r="L13" s="24"/>
      <c r="M13" s="25"/>
      <c r="N13" s="23"/>
      <c r="O13" s="24"/>
      <c r="P13" s="24"/>
      <c r="Q13" s="26"/>
      <c r="R13" s="23"/>
      <c r="S13" s="34"/>
      <c r="T13" s="34"/>
      <c r="U13" s="35"/>
      <c r="V13" s="36"/>
      <c r="W13" s="34"/>
      <c r="X13" s="34"/>
      <c r="Y13" s="37"/>
      <c r="Z13" s="38"/>
      <c r="AA13" s="34"/>
      <c r="AB13" s="34"/>
      <c r="AC13" s="35"/>
      <c r="AD13" s="36"/>
      <c r="AE13" s="34"/>
      <c r="AF13" s="34"/>
      <c r="AG13" s="26"/>
      <c r="AI13" s="16"/>
      <c r="AJ13" s="16"/>
      <c r="AK13" s="16"/>
      <c r="AL13" s="16"/>
    </row>
    <row r="14" ht="14.25">
      <c r="B14" s="39" t="s">
        <v>34</v>
      </c>
      <c r="C14" s="17" t="s">
        <v>35</v>
      </c>
      <c r="D14" s="17" t="s">
        <v>36</v>
      </c>
      <c r="E14" s="16">
        <v>5</v>
      </c>
      <c r="F14" s="16">
        <v>20</v>
      </c>
      <c r="G14" s="16"/>
      <c r="H14" s="16">
        <f t="shared" si="1"/>
        <v>25</v>
      </c>
      <c r="I14" s="18"/>
      <c r="J14" s="19"/>
      <c r="K14" s="20"/>
      <c r="L14" s="20"/>
      <c r="M14" s="21"/>
      <c r="N14" s="19"/>
      <c r="O14" s="20"/>
      <c r="P14" s="20"/>
      <c r="Q14" s="22"/>
      <c r="R14" s="23"/>
      <c r="S14" s="24"/>
      <c r="T14" s="24"/>
      <c r="U14" s="25"/>
      <c r="V14" s="23"/>
      <c r="W14" s="24"/>
      <c r="X14" s="24"/>
      <c r="Y14" s="26"/>
      <c r="Z14" s="31"/>
      <c r="AA14" s="24"/>
      <c r="AB14" s="24"/>
      <c r="AC14" s="25"/>
      <c r="AD14" s="23"/>
      <c r="AE14" s="24"/>
      <c r="AF14" s="31"/>
      <c r="AG14" s="26"/>
      <c r="AI14" s="16">
        <v>10</v>
      </c>
      <c r="AJ14" s="16"/>
      <c r="AK14" s="16">
        <v>15</v>
      </c>
      <c r="AL14" s="16"/>
    </row>
    <row r="15" ht="14.25">
      <c r="B15" s="15"/>
      <c r="C15" s="17" t="s">
        <v>37</v>
      </c>
      <c r="D15" s="17" t="s">
        <v>38</v>
      </c>
      <c r="E15" s="16"/>
      <c r="F15" s="16">
        <v>5</v>
      </c>
      <c r="G15" s="16">
        <v>5</v>
      </c>
      <c r="H15" s="16">
        <f t="shared" si="1"/>
        <v>10</v>
      </c>
      <c r="I15" s="18"/>
      <c r="J15" s="23"/>
      <c r="K15" s="24"/>
      <c r="L15" s="24"/>
      <c r="M15" s="25"/>
      <c r="N15" s="23"/>
      <c r="O15" s="24"/>
      <c r="P15" s="24"/>
      <c r="Q15" s="26"/>
      <c r="R15" s="19"/>
      <c r="S15" s="20"/>
      <c r="T15" s="20"/>
      <c r="U15" s="21"/>
      <c r="V15" s="19"/>
      <c r="W15" s="20"/>
      <c r="X15" s="20"/>
      <c r="Y15" s="21"/>
      <c r="Z15" s="23"/>
      <c r="AA15" s="24"/>
      <c r="AB15" s="24"/>
      <c r="AC15" s="25"/>
      <c r="AD15" s="40"/>
      <c r="AE15" s="24"/>
      <c r="AF15" s="24"/>
      <c r="AG15" s="26"/>
      <c r="AI15" s="16"/>
      <c r="AJ15" s="16"/>
      <c r="AK15" s="16">
        <v>5</v>
      </c>
      <c r="AL15" s="16">
        <v>5</v>
      </c>
    </row>
    <row r="16" ht="14.25">
      <c r="B16" s="15"/>
      <c r="C16" s="16"/>
      <c r="D16" s="16"/>
      <c r="E16" s="16"/>
      <c r="F16" s="16"/>
      <c r="G16" s="16"/>
      <c r="H16" s="16"/>
      <c r="I16" s="18"/>
      <c r="J16" s="23"/>
      <c r="K16" s="24"/>
      <c r="L16" s="24"/>
      <c r="M16" s="25"/>
      <c r="N16" s="23"/>
      <c r="O16" s="24"/>
      <c r="P16" s="24"/>
      <c r="Q16" s="26"/>
      <c r="R16" s="23"/>
      <c r="S16" s="24"/>
      <c r="T16" s="24"/>
      <c r="U16" s="25"/>
      <c r="V16" s="23"/>
      <c r="W16" s="24"/>
      <c r="X16" s="24"/>
      <c r="Y16" s="26"/>
      <c r="Z16" s="27"/>
      <c r="AA16" s="24"/>
      <c r="AB16" s="24"/>
      <c r="AC16" s="25"/>
      <c r="AD16" s="23"/>
      <c r="AE16" s="24"/>
      <c r="AF16" s="24"/>
      <c r="AG16" s="26"/>
      <c r="AI16" s="16"/>
      <c r="AJ16" s="16"/>
      <c r="AK16" s="16"/>
      <c r="AL16" s="16"/>
    </row>
    <row r="17" ht="14.25">
      <c r="B17" s="39" t="s">
        <v>39</v>
      </c>
      <c r="C17" s="17" t="s">
        <v>40</v>
      </c>
      <c r="D17" s="17" t="s">
        <v>41</v>
      </c>
      <c r="E17" s="16">
        <v>2</v>
      </c>
      <c r="F17" s="16">
        <v>3</v>
      </c>
      <c r="G17" s="16">
        <v>5</v>
      </c>
      <c r="H17" s="16">
        <f t="shared" si="1"/>
        <v>10</v>
      </c>
      <c r="I17" s="18"/>
      <c r="J17" s="23"/>
      <c r="K17" s="24"/>
      <c r="L17" s="24"/>
      <c r="M17" s="25"/>
      <c r="N17" s="23"/>
      <c r="O17" s="24"/>
      <c r="P17" s="24"/>
      <c r="Q17" s="26"/>
      <c r="R17" s="23"/>
      <c r="S17" s="24"/>
      <c r="T17" s="24"/>
      <c r="U17" s="25"/>
      <c r="V17" s="19"/>
      <c r="W17" s="20"/>
      <c r="X17" s="20"/>
      <c r="Y17" s="22"/>
      <c r="Z17" s="27"/>
      <c r="AA17" s="24"/>
      <c r="AB17" s="24"/>
      <c r="AC17" s="25"/>
      <c r="AD17" s="23"/>
      <c r="AE17" s="24"/>
      <c r="AF17" s="24"/>
      <c r="AG17" s="26"/>
      <c r="AI17" s="16"/>
      <c r="AJ17" s="16">
        <v>5</v>
      </c>
      <c r="AK17" s="16">
        <v>5</v>
      </c>
      <c r="AL17" s="16"/>
    </row>
    <row r="18" ht="14.25">
      <c r="B18" s="41" t="s">
        <v>42</v>
      </c>
      <c r="C18" s="17" t="s">
        <v>43</v>
      </c>
      <c r="D18" s="17" t="s">
        <v>44</v>
      </c>
      <c r="E18" s="16">
        <v>5</v>
      </c>
      <c r="F18" s="16">
        <v>20</v>
      </c>
      <c r="G18" s="16">
        <v>15</v>
      </c>
      <c r="H18" s="16">
        <f>SUM(E18:G18)</f>
        <v>40</v>
      </c>
      <c r="I18" s="18"/>
      <c r="J18" s="42"/>
      <c r="K18" s="16"/>
      <c r="L18" s="16"/>
      <c r="M18" s="18"/>
      <c r="N18" s="42"/>
      <c r="O18" s="16"/>
      <c r="P18" s="16"/>
      <c r="Q18" s="43"/>
      <c r="R18" s="44"/>
      <c r="S18" s="16"/>
      <c r="T18" s="16"/>
      <c r="U18" s="18"/>
      <c r="V18" s="19"/>
      <c r="W18" s="20"/>
      <c r="X18" s="20"/>
      <c r="Y18" s="22"/>
      <c r="Z18" s="28"/>
      <c r="AA18" s="20"/>
      <c r="AB18" s="20"/>
      <c r="AC18" s="21"/>
      <c r="AD18" s="19"/>
      <c r="AE18" s="20"/>
      <c r="AF18" s="20"/>
      <c r="AG18" s="22"/>
      <c r="AI18" s="16">
        <v>5</v>
      </c>
      <c r="AJ18" s="16">
        <v>15</v>
      </c>
      <c r="AK18" s="16">
        <v>20</v>
      </c>
      <c r="AL18" s="16"/>
    </row>
    <row r="19" ht="14.25">
      <c r="B19" s="45"/>
      <c r="C19" s="16"/>
      <c r="D19" s="17"/>
      <c r="E19" s="16"/>
      <c r="F19" s="16"/>
      <c r="G19" s="16"/>
      <c r="H19" s="16"/>
      <c r="I19" s="18"/>
      <c r="J19" s="42"/>
      <c r="K19" s="16"/>
      <c r="L19" s="16"/>
      <c r="M19" s="18"/>
      <c r="N19" s="42"/>
      <c r="O19" s="16"/>
      <c r="P19" s="16"/>
      <c r="Q19" s="43"/>
      <c r="R19" s="44"/>
      <c r="S19" s="16"/>
      <c r="T19" s="16"/>
      <c r="U19" s="18"/>
      <c r="V19" s="42"/>
      <c r="W19" s="16"/>
      <c r="X19" s="16"/>
      <c r="Y19" s="43"/>
      <c r="Z19" s="44"/>
      <c r="AA19" s="16"/>
      <c r="AB19" s="16"/>
      <c r="AC19" s="18"/>
      <c r="AD19" s="42"/>
      <c r="AE19" s="16"/>
      <c r="AF19" s="16"/>
      <c r="AG19" s="43"/>
      <c r="AI19" s="16"/>
      <c r="AJ19" s="16"/>
      <c r="AK19" s="16"/>
      <c r="AL19" s="16"/>
    </row>
    <row r="20" ht="14.25">
      <c r="B20" s="45"/>
      <c r="C20" s="16"/>
      <c r="D20" s="16"/>
      <c r="E20" s="16"/>
      <c r="F20" s="16"/>
      <c r="G20" s="16"/>
      <c r="H20" s="16"/>
      <c r="I20" s="18"/>
      <c r="J20" s="42"/>
      <c r="K20" s="16"/>
      <c r="L20" s="16"/>
      <c r="M20" s="18"/>
      <c r="N20" s="42"/>
      <c r="O20" s="16"/>
      <c r="P20" s="16"/>
      <c r="Q20" s="43"/>
      <c r="R20" s="44"/>
      <c r="S20" s="16"/>
      <c r="T20" s="16"/>
      <c r="U20" s="18"/>
      <c r="V20" s="42"/>
      <c r="W20" s="16"/>
      <c r="X20" s="16"/>
      <c r="Y20" s="43"/>
      <c r="Z20" s="44"/>
      <c r="AA20" s="16"/>
      <c r="AB20" s="16"/>
      <c r="AC20" s="18"/>
      <c r="AD20" s="42"/>
      <c r="AE20" s="16"/>
      <c r="AF20" s="16"/>
      <c r="AG20" s="43"/>
      <c r="AI20" s="16"/>
      <c r="AJ20" s="16"/>
      <c r="AK20" s="16"/>
      <c r="AL20" s="16"/>
    </row>
    <row r="21" ht="14.25">
      <c r="B21" s="45"/>
      <c r="C21" s="16"/>
      <c r="D21" s="16"/>
      <c r="E21" s="16"/>
      <c r="F21" s="16"/>
      <c r="G21" s="16"/>
      <c r="H21" s="16"/>
      <c r="I21" s="18"/>
      <c r="J21" s="42"/>
      <c r="K21" s="16"/>
      <c r="L21" s="16"/>
      <c r="M21" s="18"/>
      <c r="N21" s="42"/>
      <c r="O21" s="16"/>
      <c r="P21" s="16"/>
      <c r="Q21" s="43"/>
      <c r="R21" s="44"/>
      <c r="S21" s="16"/>
      <c r="T21" s="16"/>
      <c r="U21" s="18"/>
      <c r="V21" s="42"/>
      <c r="W21" s="16"/>
      <c r="X21" s="16"/>
      <c r="Y21" s="43"/>
      <c r="Z21" s="44"/>
      <c r="AA21" s="16"/>
      <c r="AB21" s="16"/>
      <c r="AC21" s="18"/>
      <c r="AD21" s="42"/>
      <c r="AE21" s="16"/>
      <c r="AF21" s="16"/>
      <c r="AG21" s="43"/>
      <c r="AI21" s="16"/>
      <c r="AJ21" s="16"/>
      <c r="AK21" s="16"/>
      <c r="AL21" s="16"/>
    </row>
    <row r="22" ht="14.25">
      <c r="B22" s="46" t="s">
        <v>45</v>
      </c>
      <c r="C22" s="46"/>
      <c r="D22" s="46"/>
      <c r="E22" s="16"/>
      <c r="F22" s="16"/>
      <c r="G22" s="16"/>
      <c r="H22" s="16">
        <f>SUM(H5:H21)</f>
        <v>255</v>
      </c>
      <c r="I22" s="18"/>
      <c r="J22" s="42"/>
      <c r="K22" s="16"/>
      <c r="L22" s="16"/>
      <c r="M22" s="18"/>
      <c r="N22" s="42"/>
      <c r="O22" s="16"/>
      <c r="P22" s="16"/>
      <c r="Q22" s="43"/>
      <c r="R22" s="44"/>
      <c r="S22" s="16"/>
      <c r="T22" s="16"/>
      <c r="U22" s="18"/>
      <c r="V22" s="42"/>
      <c r="W22" s="16"/>
      <c r="X22" s="16"/>
      <c r="Y22" s="43"/>
      <c r="Z22" s="44"/>
      <c r="AA22" s="16"/>
      <c r="AB22" s="16"/>
      <c r="AC22" s="18"/>
      <c r="AD22" s="42"/>
      <c r="AE22" s="16"/>
      <c r="AF22" s="16"/>
      <c r="AG22" s="43"/>
      <c r="AI22" s="16"/>
      <c r="AJ22" s="16"/>
      <c r="AK22" s="16"/>
      <c r="AL22" s="16"/>
    </row>
    <row r="23" ht="14.25">
      <c r="G23" s="47" t="s">
        <v>46</v>
      </c>
      <c r="H23" s="47">
        <f>H22/20.5</f>
        <v>12.439024390243903</v>
      </c>
      <c r="AD23" s="1"/>
    </row>
    <row r="24" ht="14.25">
      <c r="G24" t="s">
        <v>47</v>
      </c>
      <c r="AD24" s="1"/>
    </row>
    <row r="25" ht="14.25">
      <c r="AD25" s="1"/>
    </row>
    <row r="26" ht="14.25">
      <c r="AD26" s="1"/>
    </row>
    <row r="27" ht="14.25">
      <c r="AD27" s="1"/>
    </row>
    <row r="28" ht="14.25">
      <c r="AD28" s="1"/>
    </row>
    <row r="29" ht="14.25">
      <c r="AD29" s="1"/>
    </row>
    <row r="30" ht="14.25">
      <c r="AD30" s="1"/>
    </row>
    <row r="31" ht="14.25">
      <c r="AD31" s="1"/>
    </row>
    <row r="32" ht="14.25">
      <c r="AD32" s="1"/>
    </row>
    <row r="33" ht="14.25">
      <c r="AD33" s="1"/>
    </row>
    <row r="34" ht="14.25">
      <c r="AD34" s="1"/>
    </row>
    <row r="35" ht="14.25">
      <c r="AD35" s="1"/>
    </row>
    <row r="36" ht="14.25">
      <c r="AD36" s="1"/>
    </row>
    <row r="37" ht="14.25">
      <c r="AD37" s="1"/>
    </row>
    <row r="38" ht="14.25">
      <c r="AD38" s="1"/>
    </row>
    <row r="39" ht="14.25">
      <c r="AD39" s="1"/>
    </row>
    <row r="40" ht="14.25">
      <c r="AD40" s="1"/>
    </row>
    <row r="41" ht="14.25">
      <c r="AD41" s="1"/>
    </row>
    <row r="42" ht="14.25">
      <c r="AD42" s="1"/>
    </row>
    <row r="43" ht="14.25">
      <c r="AD43" s="1"/>
    </row>
    <row r="44" ht="14.25">
      <c r="AD44" s="1"/>
    </row>
    <row r="45" ht="14.25">
      <c r="AD45" s="1"/>
    </row>
    <row r="46" ht="14.25">
      <c r="AD46" s="1"/>
    </row>
    <row r="47" ht="14.25">
      <c r="AD47" s="1"/>
    </row>
    <row r="48" ht="14.25">
      <c r="AD48" s="1"/>
    </row>
    <row r="49" ht="14.25">
      <c r="AD49" s="1"/>
    </row>
    <row r="50" ht="14.25">
      <c r="AD50" s="1"/>
    </row>
    <row r="51" ht="14.25">
      <c r="AD51" s="1"/>
    </row>
  </sheetData>
  <mergeCells count="18">
    <mergeCell ref="B3:B4"/>
    <mergeCell ref="C3:C4"/>
    <mergeCell ref="D3:D4"/>
    <mergeCell ref="E3:E4"/>
    <mergeCell ref="F3:F4"/>
    <mergeCell ref="G3:G4"/>
    <mergeCell ref="J3:AG3"/>
    <mergeCell ref="J4:M4"/>
    <mergeCell ref="N4:Q4"/>
    <mergeCell ref="R4:U4"/>
    <mergeCell ref="V4:Y4"/>
    <mergeCell ref="Z4:AC4"/>
    <mergeCell ref="AD4:AG4"/>
    <mergeCell ref="B5:B10"/>
    <mergeCell ref="A11:A13"/>
    <mergeCell ref="B11:B13"/>
    <mergeCell ref="B14:B16"/>
    <mergeCell ref="B22:C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0.57421875"/>
    <col customWidth="1" min="2" max="2" width="89.140625"/>
    <col customWidth="1" min="3" max="3" width="76.7109375"/>
    <col bestFit="1" customWidth="1" min="4" max="4" width="35.421875"/>
  </cols>
  <sheetData>
    <row r="2" ht="14.25">
      <c r="B2" s="4" t="s">
        <v>48</v>
      </c>
      <c r="C2" s="4" t="s">
        <v>49</v>
      </c>
      <c r="D2" s="5" t="s">
        <v>50</v>
      </c>
    </row>
    <row r="3" ht="14.25">
      <c r="A3" s="48"/>
      <c r="B3" s="24" t="s">
        <v>51</v>
      </c>
      <c r="C3" s="17" t="s">
        <v>52</v>
      </c>
      <c r="D3" s="17" t="s">
        <v>53</v>
      </c>
    </row>
    <row r="4" ht="14.25">
      <c r="A4" s="48"/>
      <c r="B4" s="16" t="s">
        <v>54</v>
      </c>
      <c r="C4" s="16" t="s">
        <v>55</v>
      </c>
      <c r="D4" s="17" t="s">
        <v>56</v>
      </c>
    </row>
    <row r="5" ht="14.25">
      <c r="A5" s="48"/>
      <c r="B5" s="16" t="s">
        <v>57</v>
      </c>
      <c r="C5" s="16" t="s">
        <v>58</v>
      </c>
      <c r="D5" s="17" t="s">
        <v>59</v>
      </c>
    </row>
    <row r="6" ht="14.25">
      <c r="A6" s="48"/>
      <c r="B6" s="16" t="s">
        <v>60</v>
      </c>
      <c r="C6" s="16"/>
      <c r="D6" s="16" t="s">
        <v>61</v>
      </c>
    </row>
    <row r="7" ht="14.25">
      <c r="B7" s="16" t="s">
        <v>62</v>
      </c>
      <c r="C7" s="16" t="s">
        <v>63</v>
      </c>
      <c r="D7" s="32" t="s">
        <v>64</v>
      </c>
    </row>
    <row r="8" ht="14.25">
      <c r="B8" s="16" t="s">
        <v>65</v>
      </c>
      <c r="C8" s="16"/>
      <c r="D8" s="17" t="s">
        <v>66</v>
      </c>
    </row>
    <row r="9" ht="14.25">
      <c r="B9" s="16" t="s">
        <v>67</v>
      </c>
      <c r="C9" s="16" t="s">
        <v>68</v>
      </c>
      <c r="D9" s="17" t="s">
        <v>69</v>
      </c>
    </row>
    <row r="10" ht="14.25">
      <c r="B10" s="17" t="s">
        <v>70</v>
      </c>
      <c r="C10" s="16" t="s">
        <v>71</v>
      </c>
      <c r="D10" s="17" t="s">
        <v>66</v>
      </c>
    </row>
    <row r="11" ht="14.25">
      <c r="B11" s="16" t="s">
        <v>72</v>
      </c>
      <c r="C11" s="16" t="s">
        <v>73</v>
      </c>
      <c r="D11" s="16" t="s">
        <v>66</v>
      </c>
    </row>
    <row r="14" ht="14.25">
      <c r="D14" s="4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16</cp:revision>
  <dcterms:modified xsi:type="dcterms:W3CDTF">2026-05-28T02:30:40Z</dcterms:modified>
</cp:coreProperties>
</file>